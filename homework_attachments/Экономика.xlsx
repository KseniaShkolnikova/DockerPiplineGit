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7440" yWindow="0" windowWidth="22260" windowHeight="12645" activeTab="1"/>
  </bookViews>
  <sheets>
    <sheet name="Sheet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7" i="2" l="1"/>
  <c r="C95" i="2"/>
  <c r="C94" i="2"/>
  <c r="E92" i="2"/>
  <c r="C90" i="2"/>
  <c r="C89" i="2"/>
  <c r="E91" i="2"/>
  <c r="C96" i="2"/>
  <c r="C62" i="2"/>
  <c r="E61" i="2"/>
  <c r="C65" i="2"/>
  <c r="C64" i="2"/>
  <c r="C63" i="2"/>
  <c r="C60" i="2"/>
  <c r="H9" i="2" l="1"/>
  <c r="H18" i="2"/>
  <c r="H19" i="2"/>
  <c r="H17" i="2"/>
  <c r="H10" i="2"/>
  <c r="H8" i="2"/>
  <c r="Q42" i="1" l="1"/>
  <c r="I76" i="1" l="1"/>
  <c r="I74" i="1"/>
  <c r="D40" i="1"/>
  <c r="D32" i="1"/>
  <c r="D31" i="1"/>
  <c r="D82" i="1"/>
  <c r="D75" i="1"/>
  <c r="F76" i="1" l="1"/>
  <c r="F77" i="1"/>
  <c r="F78" i="1"/>
  <c r="F79" i="1"/>
  <c r="F80" i="1"/>
  <c r="F81" i="1"/>
  <c r="F82" i="1"/>
  <c r="F83" i="1"/>
  <c r="F75" i="1"/>
  <c r="E81" i="1"/>
  <c r="E83" i="1"/>
  <c r="E82" i="1"/>
  <c r="E77" i="1"/>
  <c r="D83" i="1"/>
  <c r="D81" i="1"/>
  <c r="D80" i="1"/>
  <c r="D79" i="1"/>
  <c r="D78" i="1"/>
  <c r="D76" i="1"/>
  <c r="D77" i="1"/>
  <c r="Q45" i="1" l="1"/>
  <c r="Q62" i="1"/>
  <c r="Q61" i="1"/>
  <c r="Q60" i="1"/>
  <c r="Q59" i="1"/>
  <c r="Q58" i="1"/>
  <c r="Q57" i="1"/>
  <c r="R57" i="1" s="1"/>
  <c r="P58" i="1" s="1"/>
  <c r="R58" i="1" s="1"/>
  <c r="P59" i="1" s="1"/>
  <c r="R44" i="1"/>
  <c r="S44" i="1" s="1"/>
  <c r="P45" i="1" s="1"/>
  <c r="Q46" i="1"/>
  <c r="Q47" i="1"/>
  <c r="Q49" i="1" s="1"/>
  <c r="Q48" i="1"/>
  <c r="Q44" i="1"/>
  <c r="Q36" i="1"/>
  <c r="Q35" i="1"/>
  <c r="Q34" i="1"/>
  <c r="Q33" i="1"/>
  <c r="Q32" i="1"/>
  <c r="Q31" i="1"/>
  <c r="R31" i="1"/>
  <c r="P32" i="1" s="1"/>
  <c r="C60" i="1"/>
  <c r="F60" i="1" s="1"/>
  <c r="C61" i="1" s="1"/>
  <c r="F61" i="1" s="1"/>
  <c r="C62" i="1" s="1"/>
  <c r="F62" i="1" s="1"/>
  <c r="C63" i="1" s="1"/>
  <c r="F63" i="1" s="1"/>
  <c r="C64" i="1" s="1"/>
  <c r="F64" i="1" s="1"/>
  <c r="C65" i="1" s="1"/>
  <c r="F65" i="1" s="1"/>
  <c r="C66" i="1" s="1"/>
  <c r="F66" i="1" s="1"/>
  <c r="C67" i="1" s="1"/>
  <c r="F67" i="1" s="1"/>
  <c r="F59" i="1"/>
  <c r="C59" i="1"/>
  <c r="F58" i="1"/>
  <c r="D67" i="1"/>
  <c r="D66" i="1"/>
  <c r="D65" i="1"/>
  <c r="D64" i="1"/>
  <c r="D63" i="1"/>
  <c r="D62" i="1"/>
  <c r="D61" i="1"/>
  <c r="D60" i="1"/>
  <c r="D59" i="1"/>
  <c r="D58" i="1"/>
  <c r="F46" i="1"/>
  <c r="C47" i="1" s="1"/>
  <c r="E46" i="1"/>
  <c r="C46" i="1"/>
  <c r="F45" i="1"/>
  <c r="E45" i="1"/>
  <c r="C45" i="1"/>
  <c r="F44" i="1"/>
  <c r="E44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D39" i="1"/>
  <c r="D38" i="1"/>
  <c r="D37" i="1"/>
  <c r="D36" i="1"/>
  <c r="D35" i="1"/>
  <c r="D34" i="1"/>
  <c r="D33" i="1"/>
  <c r="R59" i="1" l="1"/>
  <c r="P60" i="1" s="1"/>
  <c r="R60" i="1" s="1"/>
  <c r="P61" i="1" s="1"/>
  <c r="R61" i="1" s="1"/>
  <c r="P62" i="1" s="1"/>
  <c r="R62" i="1" s="1"/>
  <c r="R45" i="1"/>
  <c r="S45" i="1" s="1"/>
  <c r="P46" i="1" s="1"/>
  <c r="R32" i="1"/>
  <c r="P33" i="1" s="1"/>
  <c r="E47" i="1"/>
  <c r="F47" i="1"/>
  <c r="C48" i="1" s="1"/>
  <c r="H17" i="1"/>
  <c r="H6" i="1"/>
  <c r="H4" i="1"/>
  <c r="F17" i="1"/>
  <c r="F6" i="1"/>
  <c r="F4" i="1"/>
  <c r="R46" i="1" l="1"/>
  <c r="S46" i="1" s="1"/>
  <c r="P47" i="1" s="1"/>
  <c r="R33" i="1"/>
  <c r="P34" i="1" s="1"/>
  <c r="R34" i="1" s="1"/>
  <c r="P35" i="1" s="1"/>
  <c r="E48" i="1"/>
  <c r="F48" i="1"/>
  <c r="C49" i="1" s="1"/>
  <c r="R47" i="1" l="1"/>
  <c r="S47" i="1" s="1"/>
  <c r="P48" i="1" s="1"/>
  <c r="R35" i="1"/>
  <c r="P36" i="1" s="1"/>
  <c r="E49" i="1"/>
  <c r="F49" i="1" s="1"/>
  <c r="C50" i="1" s="1"/>
  <c r="R48" i="1" l="1"/>
  <c r="S48" i="1" s="1"/>
  <c r="P49" i="1" s="1"/>
  <c r="R36" i="1"/>
  <c r="E50" i="1"/>
  <c r="F50" i="1" s="1"/>
  <c r="C51" i="1" s="1"/>
  <c r="R49" i="1" l="1"/>
  <c r="S49" i="1" s="1"/>
  <c r="E51" i="1"/>
  <c r="F51" i="1" s="1"/>
  <c r="C52" i="1" s="1"/>
  <c r="E52" i="1" l="1"/>
  <c r="F52" i="1" s="1"/>
  <c r="C53" i="1" s="1"/>
  <c r="E53" i="1" l="1"/>
  <c r="F53" i="1" s="1"/>
</calcChain>
</file>

<file path=xl/sharedStrings.xml><?xml version="1.0" encoding="utf-8"?>
<sst xmlns="http://schemas.openxmlformats.org/spreadsheetml/2006/main" count="171" uniqueCount="89">
  <si>
    <t>Показатель</t>
  </si>
  <si>
    <t>Значение (тыс. рублей)</t>
  </si>
  <si>
    <t>Стоимость на начало года</t>
  </si>
  <si>
    <t>Стоимость введенных основных средств:</t>
  </si>
  <si>
    <t>в марте</t>
  </si>
  <si>
    <t>июне</t>
  </si>
  <si>
    <t>августе</t>
  </si>
  <si>
    <t>в феврале</t>
  </si>
  <si>
    <t>октябре</t>
  </si>
  <si>
    <t>Стомость выбывших основных средств:</t>
  </si>
  <si>
    <t xml:space="preserve">С(к перв) = </t>
  </si>
  <si>
    <t>С (ср) =</t>
  </si>
  <si>
    <t>Год</t>
  </si>
  <si>
    <t>Сперв (нач)</t>
  </si>
  <si>
    <t>А</t>
  </si>
  <si>
    <t>Сперв (кон)</t>
  </si>
  <si>
    <t>Na</t>
  </si>
  <si>
    <t>Группа основных средств</t>
  </si>
  <si>
    <t>здания</t>
  </si>
  <si>
    <t>сооружения</t>
  </si>
  <si>
    <t>машины и оборудование</t>
  </si>
  <si>
    <t>средства транспортные</t>
  </si>
  <si>
    <t>инвентарь производственный и хозяйственный</t>
  </si>
  <si>
    <t>прочие силовые средства</t>
  </si>
  <si>
    <t>Итого</t>
  </si>
  <si>
    <t>активная часть</t>
  </si>
  <si>
    <t>пассивная часть</t>
  </si>
  <si>
    <t>На начало года</t>
  </si>
  <si>
    <t>Стоиомсть млн руб</t>
  </si>
  <si>
    <t>Доли %</t>
  </si>
  <si>
    <t>На конец года</t>
  </si>
  <si>
    <t>Стоимость млн руб</t>
  </si>
  <si>
    <t>K выб=</t>
  </si>
  <si>
    <t>К обн=</t>
  </si>
  <si>
    <t>Дата</t>
  </si>
  <si>
    <t>Сумма</t>
  </si>
  <si>
    <t>Обьем реализованной продукции</t>
  </si>
  <si>
    <t>на 1 января 2002</t>
  </si>
  <si>
    <t>1 апреля 2002</t>
  </si>
  <si>
    <t>1 июля 2002</t>
  </si>
  <si>
    <t>1 октября 2002</t>
  </si>
  <si>
    <t>1 января 2003</t>
  </si>
  <si>
    <t>Остатки оборотных средств</t>
  </si>
  <si>
    <t>Квартал</t>
  </si>
  <si>
    <t>|</t>
  </si>
  <si>
    <t>||</t>
  </si>
  <si>
    <t>|||</t>
  </si>
  <si>
    <t>|V</t>
  </si>
  <si>
    <t>обр=</t>
  </si>
  <si>
    <t>К об =</t>
  </si>
  <si>
    <t>оборот</t>
  </si>
  <si>
    <t xml:space="preserve">Т = </t>
  </si>
  <si>
    <t>72 дня</t>
  </si>
  <si>
    <t>К об=</t>
  </si>
  <si>
    <t>Т=</t>
  </si>
  <si>
    <t>Выводы:</t>
  </si>
  <si>
    <t>70 дней</t>
  </si>
  <si>
    <t>Чем больше оборотов совершают оборотные средства, тем лучше они используются - производиться большее кол-во продукции</t>
  </si>
  <si>
    <t>Уменьшении длительности одного оборота говорит о лучшем использовании оборотных средств</t>
  </si>
  <si>
    <t>Показатели ООС могут рассчитываться по всем оборотным средствам, участвующим в обороте, и по отдельным элементам. При ускорении ООС из оборота высвобождаются материальные русурсы и источники их образования, при замедлении -  в оборот вовлекаются доп средства</t>
  </si>
  <si>
    <t>годовой выпуск A-</t>
  </si>
  <si>
    <t>Расход ткани на 1 изделие-</t>
  </si>
  <si>
    <t>1м-</t>
  </si>
  <si>
    <t>поставка-</t>
  </si>
  <si>
    <t>дней</t>
  </si>
  <si>
    <t>страховой запас-</t>
  </si>
  <si>
    <t>дня</t>
  </si>
  <si>
    <t>подготовительный-</t>
  </si>
  <si>
    <t>Длительность произ цикла-</t>
  </si>
  <si>
    <t>дг=ня</t>
  </si>
  <si>
    <t>себестомость изделия -</t>
  </si>
  <si>
    <t>коэф нарастания затрат-</t>
  </si>
  <si>
    <t xml:space="preserve">нахождение готовой продукции - </t>
  </si>
  <si>
    <t>Средний одноднеынй расход=</t>
  </si>
  <si>
    <t>руб</t>
  </si>
  <si>
    <t>П пз =</t>
  </si>
  <si>
    <t>Затраты=</t>
  </si>
  <si>
    <t>Н нпз=</t>
  </si>
  <si>
    <t>Н гп=</t>
  </si>
  <si>
    <t>Н ос=</t>
  </si>
  <si>
    <t>Расход пластика на 1 изделие-</t>
  </si>
  <si>
    <t>кг</t>
  </si>
  <si>
    <t>Расход тонера на 1 изделие-</t>
  </si>
  <si>
    <t>поставка пластика-</t>
  </si>
  <si>
    <t>поставка тоенера</t>
  </si>
  <si>
    <t>Средний одноднеынй расход на пластик=</t>
  </si>
  <si>
    <t>Средний одноднеынй расход на тонер=</t>
  </si>
  <si>
    <t>П пз пластик=</t>
  </si>
  <si>
    <t>П пз тонер=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</si>
</sst>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9" fontId="0" fillId="0" borderId="9" xfId="0" applyNumberFormat="1" applyBorder="1"/>
    <xf numFmtId="9" fontId="0" fillId="0" borderId="0" xfId="0" applyNumberFormat="1"/>
    <xf numFmtId="2" fontId="0" fillId="0" borderId="9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9" fontId="0" fillId="0" borderId="0" xfId="0" applyNumberFormat="1" applyBorder="1"/>
    <xf numFmtId="0" fontId="0" fillId="0" borderId="0" xfId="0" applyBorder="1"/>
    <xf numFmtId="2" fontId="0" fillId="0" borderId="0" xfId="0" applyNumberFormat="1" applyBorder="1" applyAlignment="1">
      <alignment horizontal="center" vertical="center"/>
    </xf>
    <xf numFmtId="0" fontId="0" fillId="0" borderId="13" xfId="0" applyBorder="1"/>
    <xf numFmtId="9" fontId="0" fillId="0" borderId="18" xfId="0" applyNumberFormat="1" applyBorder="1"/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2" xfId="0" applyBorder="1"/>
    <xf numFmtId="0" fontId="0" fillId="0" borderId="1" xfId="0" applyBorder="1"/>
    <xf numFmtId="0" fontId="1" fillId="0" borderId="6" xfId="0" applyFont="1" applyBorder="1"/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0" fontId="0" fillId="0" borderId="12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4" xfId="0" applyBorder="1" applyAlignment="1">
      <alignment horizontal="center" vertical="top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42</xdr:row>
      <xdr:rowOff>0</xdr:rowOff>
    </xdr:from>
    <xdr:to>
      <xdr:col>12</xdr:col>
      <xdr:colOff>139086</xdr:colOff>
      <xdr:row>45</xdr:row>
      <xdr:rowOff>65707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6528" y="8210903"/>
          <a:ext cx="3181794" cy="647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9</xdr:col>
      <xdr:colOff>194529</xdr:colOff>
      <xdr:row>48</xdr:row>
      <xdr:rowOff>76716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188" y="5778500"/>
          <a:ext cx="6115904" cy="3696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8</xdr:col>
      <xdr:colOff>558032</xdr:colOff>
      <xdr:row>76</xdr:row>
      <xdr:rowOff>66950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188" y="12827000"/>
          <a:ext cx="5868219" cy="197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83"/>
  <sheetViews>
    <sheetView topLeftCell="G90" zoomScale="85" zoomScaleNormal="108" workbookViewId="0">
      <selection activeCell="R38" sqref="R38"/>
    </sheetView>
  </sheetViews>
  <sheetFormatPr defaultRowHeight="15" x14ac:dyDescent="0.25"/>
  <cols>
    <col min="2" max="2" width="45.42578125" bestFit="1" customWidth="1"/>
    <col min="3" max="3" width="22.85546875" bestFit="1" customWidth="1"/>
    <col min="4" max="4" width="13.140625" bestFit="1" customWidth="1"/>
    <col min="5" max="5" width="18.7109375" bestFit="1" customWidth="1"/>
    <col min="6" max="6" width="11.7109375" bestFit="1" customWidth="1"/>
    <col min="15" max="15" width="4.140625" bestFit="1" customWidth="1"/>
    <col min="16" max="16" width="11.5703125" bestFit="1" customWidth="1"/>
    <col min="17" max="17" width="13.5703125" bestFit="1" customWidth="1"/>
    <col min="18" max="18" width="11.7109375" bestFit="1" customWidth="1"/>
    <col min="19" max="19" width="13" bestFit="1" customWidth="1"/>
  </cols>
  <sheetData>
    <row r="2" spans="2:8" ht="15.75" thickBot="1" x14ac:dyDescent="0.3"/>
    <row r="3" spans="2:8" ht="15.75" thickBot="1" x14ac:dyDescent="0.3">
      <c r="B3" s="7" t="s">
        <v>0</v>
      </c>
      <c r="C3" s="8" t="s">
        <v>1</v>
      </c>
    </row>
    <row r="4" spans="2:8" x14ac:dyDescent="0.25">
      <c r="B4" s="3" t="s">
        <v>2</v>
      </c>
      <c r="C4" s="1">
        <v>15000</v>
      </c>
      <c r="E4" t="s">
        <v>10</v>
      </c>
      <c r="F4">
        <f>C4+C6+C7+C8-C10-C11</f>
        <v>15200</v>
      </c>
      <c r="H4" s="9">
        <f>31700+1000+2000+100-500-90</f>
        <v>34210</v>
      </c>
    </row>
    <row r="5" spans="2:8" x14ac:dyDescent="0.25">
      <c r="B5" s="49" t="s">
        <v>3</v>
      </c>
      <c r="C5" s="50"/>
      <c r="H5" s="3"/>
    </row>
    <row r="6" spans="2:8" x14ac:dyDescent="0.25">
      <c r="B6" s="5" t="s">
        <v>4</v>
      </c>
      <c r="C6" s="1">
        <v>200</v>
      </c>
      <c r="E6" t="s">
        <v>11</v>
      </c>
      <c r="F6">
        <f>(C4+F4)/2</f>
        <v>15100</v>
      </c>
      <c r="H6" s="3">
        <f>(H4+31700)/2</f>
        <v>32955</v>
      </c>
    </row>
    <row r="7" spans="2:8" x14ac:dyDescent="0.25">
      <c r="B7" s="5" t="s">
        <v>5</v>
      </c>
      <c r="C7" s="1">
        <v>150</v>
      </c>
      <c r="H7" s="3"/>
    </row>
    <row r="8" spans="2:8" x14ac:dyDescent="0.25">
      <c r="B8" s="5" t="s">
        <v>6</v>
      </c>
      <c r="C8" s="1">
        <v>250</v>
      </c>
      <c r="H8" s="3"/>
    </row>
    <row r="9" spans="2:8" x14ac:dyDescent="0.25">
      <c r="B9" s="49" t="s">
        <v>9</v>
      </c>
      <c r="C9" s="50"/>
      <c r="H9" s="3"/>
    </row>
    <row r="10" spans="2:8" x14ac:dyDescent="0.25">
      <c r="B10" s="5" t="s">
        <v>7</v>
      </c>
      <c r="C10" s="1">
        <v>100</v>
      </c>
      <c r="H10" s="3"/>
    </row>
    <row r="11" spans="2:8" ht="15.75" thickBot="1" x14ac:dyDescent="0.3">
      <c r="B11" s="6" t="s">
        <v>8</v>
      </c>
      <c r="C11" s="2">
        <v>300</v>
      </c>
      <c r="H11" s="3"/>
    </row>
    <row r="12" spans="2:8" x14ac:dyDescent="0.25">
      <c r="H12" s="3"/>
    </row>
    <row r="13" spans="2:8" ht="15.75" thickBot="1" x14ac:dyDescent="0.3">
      <c r="H13" s="3"/>
    </row>
    <row r="14" spans="2:8" ht="15.75" thickBot="1" x14ac:dyDescent="0.3">
      <c r="B14" s="7" t="s">
        <v>0</v>
      </c>
      <c r="C14" s="8" t="s">
        <v>1</v>
      </c>
      <c r="H14" s="3"/>
    </row>
    <row r="15" spans="2:8" x14ac:dyDescent="0.25">
      <c r="B15" s="3" t="s">
        <v>2</v>
      </c>
      <c r="C15" s="1">
        <v>15000</v>
      </c>
      <c r="H15" s="3"/>
    </row>
    <row r="16" spans="2:8" x14ac:dyDescent="0.25">
      <c r="B16" s="49" t="s">
        <v>3</v>
      </c>
      <c r="C16" s="50"/>
      <c r="H16" s="3"/>
    </row>
    <row r="17" spans="2:18" ht="15.75" thickBot="1" x14ac:dyDescent="0.3">
      <c r="B17" s="5" t="s">
        <v>4</v>
      </c>
      <c r="C17" s="1">
        <v>200</v>
      </c>
      <c r="E17" t="s">
        <v>11</v>
      </c>
      <c r="F17">
        <f>C15+ (9/12) * 200 + (6/12) * 150 + (4/12) *250 - (10/12)*100 - (2/12) * 300</f>
        <v>15175</v>
      </c>
      <c r="H17" s="4">
        <f>31700+7/12*1000+9/12 *2000+ 4/12*100-1/12*500-6/12*90</f>
        <v>33730</v>
      </c>
    </row>
    <row r="18" spans="2:18" x14ac:dyDescent="0.25">
      <c r="B18" s="5" t="s">
        <v>5</v>
      </c>
      <c r="C18" s="1">
        <v>150</v>
      </c>
    </row>
    <row r="19" spans="2:18" x14ac:dyDescent="0.25">
      <c r="B19" s="5" t="s">
        <v>6</v>
      </c>
      <c r="C19" s="1">
        <v>250</v>
      </c>
    </row>
    <row r="20" spans="2:18" x14ac:dyDescent="0.25">
      <c r="B20" s="49" t="s">
        <v>9</v>
      </c>
      <c r="C20" s="50"/>
    </row>
    <row r="21" spans="2:18" x14ac:dyDescent="0.25">
      <c r="B21" s="5" t="s">
        <v>7</v>
      </c>
      <c r="C21" s="1">
        <v>100</v>
      </c>
    </row>
    <row r="22" spans="2:18" ht="15.75" thickBot="1" x14ac:dyDescent="0.3">
      <c r="B22" s="6" t="s">
        <v>8</v>
      </c>
      <c r="C22" s="2">
        <v>300</v>
      </c>
    </row>
    <row r="29" spans="2:18" ht="15.75" thickBot="1" x14ac:dyDescent="0.3"/>
    <row r="30" spans="2:18" x14ac:dyDescent="0.25">
      <c r="B30" s="11" t="s">
        <v>12</v>
      </c>
      <c r="C30" s="11" t="s">
        <v>13</v>
      </c>
      <c r="D30" s="11" t="s">
        <v>14</v>
      </c>
      <c r="E30" s="11" t="s">
        <v>15</v>
      </c>
      <c r="O30" s="16" t="s">
        <v>12</v>
      </c>
      <c r="P30" s="17" t="s">
        <v>13</v>
      </c>
      <c r="Q30" s="17" t="s">
        <v>14</v>
      </c>
      <c r="R30" s="18" t="s">
        <v>15</v>
      </c>
    </row>
    <row r="31" spans="2:18" x14ac:dyDescent="0.25">
      <c r="B31" s="11">
        <v>1</v>
      </c>
      <c r="C31" s="11">
        <v>160</v>
      </c>
      <c r="D31" s="11">
        <f>$C$31/B40</f>
        <v>16</v>
      </c>
      <c r="E31" s="11">
        <f t="shared" ref="E31:E40" si="0">C31-D31</f>
        <v>144</v>
      </c>
      <c r="O31" s="19">
        <v>1</v>
      </c>
      <c r="P31" s="11">
        <v>8200</v>
      </c>
      <c r="Q31" s="11">
        <f>P31/O36</f>
        <v>1366.6666666666667</v>
      </c>
      <c r="R31" s="20">
        <f t="shared" ref="R31:R36" si="1">P31-Q31</f>
        <v>6833.333333333333</v>
      </c>
    </row>
    <row r="32" spans="2:18" x14ac:dyDescent="0.25">
      <c r="B32" s="11">
        <v>2</v>
      </c>
      <c r="C32" s="11">
        <f t="shared" ref="C32:C40" si="2">E31</f>
        <v>144</v>
      </c>
      <c r="D32" s="11">
        <f>C31/B40</f>
        <v>16</v>
      </c>
      <c r="E32" s="11">
        <f t="shared" si="0"/>
        <v>128</v>
      </c>
      <c r="O32" s="19">
        <v>2</v>
      </c>
      <c r="P32" s="11">
        <f>R31</f>
        <v>6833.333333333333</v>
      </c>
      <c r="Q32" s="11">
        <f>P31/O36</f>
        <v>1366.6666666666667</v>
      </c>
      <c r="R32" s="20">
        <f t="shared" si="1"/>
        <v>5466.6666666666661</v>
      </c>
    </row>
    <row r="33" spans="2:19" x14ac:dyDescent="0.25">
      <c r="B33" s="11">
        <v>3</v>
      </c>
      <c r="C33" s="11">
        <f t="shared" si="2"/>
        <v>128</v>
      </c>
      <c r="D33" s="11">
        <f>C31/B40</f>
        <v>16</v>
      </c>
      <c r="E33" s="11">
        <f t="shared" si="0"/>
        <v>112</v>
      </c>
      <c r="O33" s="19">
        <v>3</v>
      </c>
      <c r="P33" s="11">
        <f>R32</f>
        <v>5466.6666666666661</v>
      </c>
      <c r="Q33" s="11">
        <f>P31/O36</f>
        <v>1366.6666666666667</v>
      </c>
      <c r="R33" s="20">
        <f t="shared" si="1"/>
        <v>4099.9999999999991</v>
      </c>
    </row>
    <row r="34" spans="2:19" x14ac:dyDescent="0.25">
      <c r="B34" s="11">
        <v>4</v>
      </c>
      <c r="C34" s="11">
        <f t="shared" si="2"/>
        <v>112</v>
      </c>
      <c r="D34" s="11">
        <f>C31/B40</f>
        <v>16</v>
      </c>
      <c r="E34" s="11">
        <f t="shared" si="0"/>
        <v>96</v>
      </c>
      <c r="O34" s="19">
        <v>4</v>
      </c>
      <c r="P34" s="11">
        <f>R33</f>
        <v>4099.9999999999991</v>
      </c>
      <c r="Q34" s="11">
        <f>P31/O36</f>
        <v>1366.6666666666667</v>
      </c>
      <c r="R34" s="20">
        <f t="shared" si="1"/>
        <v>2733.3333333333321</v>
      </c>
    </row>
    <row r="35" spans="2:19" x14ac:dyDescent="0.25">
      <c r="B35" s="11">
        <v>5</v>
      </c>
      <c r="C35" s="11">
        <f t="shared" si="2"/>
        <v>96</v>
      </c>
      <c r="D35" s="11">
        <f>C31/B40</f>
        <v>16</v>
      </c>
      <c r="E35" s="11">
        <f t="shared" si="0"/>
        <v>80</v>
      </c>
      <c r="O35" s="19">
        <v>5</v>
      </c>
      <c r="P35" s="11">
        <f>R34</f>
        <v>2733.3333333333321</v>
      </c>
      <c r="Q35" s="11">
        <f>P31/O36</f>
        <v>1366.6666666666667</v>
      </c>
      <c r="R35" s="20">
        <f t="shared" si="1"/>
        <v>1366.6666666666654</v>
      </c>
    </row>
    <row r="36" spans="2:19" ht="15.75" thickBot="1" x14ac:dyDescent="0.3">
      <c r="B36" s="11">
        <v>6</v>
      </c>
      <c r="C36" s="11">
        <f t="shared" si="2"/>
        <v>80</v>
      </c>
      <c r="D36" s="11">
        <f>C31/B40</f>
        <v>16</v>
      </c>
      <c r="E36" s="11">
        <f t="shared" si="0"/>
        <v>64</v>
      </c>
      <c r="O36" s="21">
        <v>6</v>
      </c>
      <c r="P36" s="22">
        <f>R35</f>
        <v>1366.6666666666654</v>
      </c>
      <c r="Q36" s="22">
        <f>P31/O36</f>
        <v>1366.6666666666667</v>
      </c>
      <c r="R36" s="29">
        <f t="shared" si="1"/>
        <v>0</v>
      </c>
    </row>
    <row r="37" spans="2:19" x14ac:dyDescent="0.25">
      <c r="B37" s="11">
        <v>7</v>
      </c>
      <c r="C37" s="11">
        <f t="shared" si="2"/>
        <v>64</v>
      </c>
      <c r="D37" s="11">
        <f>C31/B40</f>
        <v>16</v>
      </c>
      <c r="E37" s="11">
        <f t="shared" si="0"/>
        <v>48</v>
      </c>
      <c r="O37" s="15"/>
      <c r="P37" s="15"/>
      <c r="Q37" s="15"/>
      <c r="R37" s="15"/>
    </row>
    <row r="38" spans="2:19" x14ac:dyDescent="0.25">
      <c r="B38" s="11">
        <v>8</v>
      </c>
      <c r="C38" s="11">
        <f t="shared" si="2"/>
        <v>48</v>
      </c>
      <c r="D38" s="11">
        <f>C31/B40</f>
        <v>16</v>
      </c>
      <c r="E38" s="11">
        <f t="shared" si="0"/>
        <v>32</v>
      </c>
      <c r="O38" s="15"/>
      <c r="P38" s="15"/>
      <c r="Q38" s="15"/>
      <c r="R38" s="15"/>
    </row>
    <row r="39" spans="2:19" x14ac:dyDescent="0.25">
      <c r="B39" s="11">
        <v>9</v>
      </c>
      <c r="C39" s="11">
        <f t="shared" si="2"/>
        <v>32</v>
      </c>
      <c r="D39" s="11">
        <f>C31/B40</f>
        <v>16</v>
      </c>
      <c r="E39" s="11">
        <f t="shared" si="0"/>
        <v>16</v>
      </c>
      <c r="O39" s="15"/>
      <c r="P39" s="15"/>
      <c r="Q39" s="15"/>
      <c r="R39" s="15"/>
    </row>
    <row r="40" spans="2:19" x14ac:dyDescent="0.25">
      <c r="B40" s="11">
        <v>10</v>
      </c>
      <c r="C40" s="11">
        <f t="shared" si="2"/>
        <v>16</v>
      </c>
      <c r="D40" s="11">
        <f>C31/B40</f>
        <v>16</v>
      </c>
      <c r="E40" s="11">
        <f t="shared" si="0"/>
        <v>0</v>
      </c>
      <c r="O40" s="15"/>
      <c r="P40" s="15"/>
      <c r="Q40" s="15"/>
      <c r="R40" s="15"/>
    </row>
    <row r="42" spans="2:19" ht="15.75" thickBot="1" x14ac:dyDescent="0.3">
      <c r="D42" s="13">
        <v>0.2</v>
      </c>
      <c r="Q42">
        <f>100%/6 *2</f>
        <v>0.33333333333333331</v>
      </c>
    </row>
    <row r="43" spans="2:19" x14ac:dyDescent="0.25">
      <c r="B43" s="11" t="s">
        <v>12</v>
      </c>
      <c r="C43" s="11" t="s">
        <v>13</v>
      </c>
      <c r="D43" s="10" t="s">
        <v>16</v>
      </c>
      <c r="E43" s="11" t="s">
        <v>14</v>
      </c>
      <c r="F43" s="11" t="s">
        <v>15</v>
      </c>
      <c r="O43" s="16" t="s">
        <v>12</v>
      </c>
      <c r="P43" s="17" t="s">
        <v>13</v>
      </c>
      <c r="Q43" s="27" t="s">
        <v>16</v>
      </c>
      <c r="R43" s="17" t="s">
        <v>14</v>
      </c>
      <c r="S43" s="18" t="s">
        <v>15</v>
      </c>
    </row>
    <row r="44" spans="2:19" x14ac:dyDescent="0.25">
      <c r="B44" s="11">
        <v>1</v>
      </c>
      <c r="C44" s="11">
        <v>160</v>
      </c>
      <c r="D44" s="12">
        <v>20</v>
      </c>
      <c r="E44" s="11">
        <f>C44/100 *D44</f>
        <v>32</v>
      </c>
      <c r="F44" s="11">
        <f>C44-E44</f>
        <v>128</v>
      </c>
      <c r="O44" s="19">
        <v>1</v>
      </c>
      <c r="P44" s="11">
        <v>8200</v>
      </c>
      <c r="Q44" s="12">
        <f>Q42</f>
        <v>0.33333333333333331</v>
      </c>
      <c r="R44" s="11">
        <f>P44/100 *Q44</f>
        <v>27.333333333333332</v>
      </c>
      <c r="S44" s="20">
        <f>P44-R44</f>
        <v>8172.666666666667</v>
      </c>
    </row>
    <row r="45" spans="2:19" x14ac:dyDescent="0.25">
      <c r="B45" s="11">
        <v>2</v>
      </c>
      <c r="C45" s="11">
        <f>F44</f>
        <v>128</v>
      </c>
      <c r="D45" s="12">
        <v>20</v>
      </c>
      <c r="E45" s="11">
        <f>C45/100 *D45</f>
        <v>25.6</v>
      </c>
      <c r="F45" s="11">
        <f>C45-E45</f>
        <v>102.4</v>
      </c>
      <c r="O45" s="19">
        <v>2</v>
      </c>
      <c r="P45" s="11">
        <f>S44</f>
        <v>8172.666666666667</v>
      </c>
      <c r="Q45" s="12">
        <f>Q44</f>
        <v>0.33333333333333331</v>
      </c>
      <c r="R45" s="11">
        <f>P45/100 *Q45</f>
        <v>27.242222222222225</v>
      </c>
      <c r="S45" s="20">
        <f>P45-R45</f>
        <v>8145.4244444444448</v>
      </c>
    </row>
    <row r="46" spans="2:19" x14ac:dyDescent="0.25">
      <c r="B46" s="11">
        <v>3</v>
      </c>
      <c r="C46" s="11">
        <f t="shared" ref="C46:C53" si="3">F45</f>
        <v>102.4</v>
      </c>
      <c r="D46" s="12">
        <v>20</v>
      </c>
      <c r="E46" s="11">
        <f t="shared" ref="E46:E53" si="4">C46/100 *D46</f>
        <v>20.48</v>
      </c>
      <c r="F46" s="11">
        <f t="shared" ref="F46:F53" si="5">C46-E46</f>
        <v>81.92</v>
      </c>
      <c r="O46" s="19">
        <v>3</v>
      </c>
      <c r="P46" s="11">
        <f t="shared" ref="P46:P49" si="6">S45</f>
        <v>8145.4244444444448</v>
      </c>
      <c r="Q46" s="12">
        <f t="shared" ref="Q46:Q49" si="7">Q44</f>
        <v>0.33333333333333331</v>
      </c>
      <c r="R46" s="11">
        <f t="shared" ref="R46:R49" si="8">P46/100 *Q46</f>
        <v>27.151414814814814</v>
      </c>
      <c r="S46" s="20">
        <f t="shared" ref="S46:S49" si="9">P46-R46</f>
        <v>8118.2730296296304</v>
      </c>
    </row>
    <row r="47" spans="2:19" x14ac:dyDescent="0.25">
      <c r="B47" s="11">
        <v>4</v>
      </c>
      <c r="C47" s="11">
        <f t="shared" si="3"/>
        <v>81.92</v>
      </c>
      <c r="D47" s="12">
        <v>20</v>
      </c>
      <c r="E47" s="11">
        <f t="shared" si="4"/>
        <v>16.384</v>
      </c>
      <c r="F47" s="11">
        <f t="shared" si="5"/>
        <v>65.536000000000001</v>
      </c>
      <c r="O47" s="19">
        <v>4</v>
      </c>
      <c r="P47" s="11">
        <f t="shared" si="6"/>
        <v>8118.2730296296304</v>
      </c>
      <c r="Q47" s="12">
        <f t="shared" si="7"/>
        <v>0.33333333333333331</v>
      </c>
      <c r="R47" s="11">
        <f t="shared" si="8"/>
        <v>27.060910098765433</v>
      </c>
      <c r="S47" s="20">
        <f t="shared" si="9"/>
        <v>8091.2121195308646</v>
      </c>
    </row>
    <row r="48" spans="2:19" x14ac:dyDescent="0.25">
      <c r="B48" s="11">
        <v>5</v>
      </c>
      <c r="C48" s="11">
        <f t="shared" si="3"/>
        <v>65.536000000000001</v>
      </c>
      <c r="D48" s="12">
        <v>20</v>
      </c>
      <c r="E48" s="11">
        <f t="shared" si="4"/>
        <v>13.107200000000001</v>
      </c>
      <c r="F48" s="11">
        <f t="shared" si="5"/>
        <v>52.428800000000003</v>
      </c>
      <c r="O48" s="19">
        <v>5</v>
      </c>
      <c r="P48" s="11">
        <f t="shared" si="6"/>
        <v>8091.2121195308646</v>
      </c>
      <c r="Q48" s="12">
        <f t="shared" si="7"/>
        <v>0.33333333333333331</v>
      </c>
      <c r="R48" s="11">
        <f t="shared" si="8"/>
        <v>26.970707065102879</v>
      </c>
      <c r="S48" s="20">
        <f t="shared" si="9"/>
        <v>8064.2414124657616</v>
      </c>
    </row>
    <row r="49" spans="2:19" ht="15.75" thickBot="1" x14ac:dyDescent="0.3">
      <c r="B49" s="11">
        <v>6</v>
      </c>
      <c r="C49" s="11">
        <f t="shared" si="3"/>
        <v>52.428800000000003</v>
      </c>
      <c r="D49" s="12">
        <v>20</v>
      </c>
      <c r="E49" s="11">
        <f t="shared" si="4"/>
        <v>10.485759999999999</v>
      </c>
      <c r="F49" s="11">
        <f t="shared" si="5"/>
        <v>41.943040000000003</v>
      </c>
      <c r="O49" s="21">
        <v>6</v>
      </c>
      <c r="P49" s="22">
        <f t="shared" si="6"/>
        <v>8064.2414124657616</v>
      </c>
      <c r="Q49" s="28">
        <f t="shared" si="7"/>
        <v>0.33333333333333331</v>
      </c>
      <c r="R49" s="22">
        <f t="shared" si="8"/>
        <v>26.880804708219205</v>
      </c>
      <c r="S49" s="23">
        <f t="shared" si="9"/>
        <v>8037.3606077575423</v>
      </c>
    </row>
    <row r="50" spans="2:19" x14ac:dyDescent="0.25">
      <c r="B50" s="11">
        <v>7</v>
      </c>
      <c r="C50" s="11">
        <f t="shared" si="3"/>
        <v>41.943040000000003</v>
      </c>
      <c r="D50" s="12">
        <v>20</v>
      </c>
      <c r="E50" s="11">
        <f t="shared" si="4"/>
        <v>8.3886080000000014</v>
      </c>
      <c r="F50" s="11">
        <f t="shared" si="5"/>
        <v>33.554432000000006</v>
      </c>
      <c r="O50" s="15"/>
      <c r="P50" s="15"/>
      <c r="Q50" s="24"/>
      <c r="R50" s="15"/>
      <c r="S50" s="15"/>
    </row>
    <row r="51" spans="2:19" x14ac:dyDescent="0.25">
      <c r="B51" s="11">
        <v>8</v>
      </c>
      <c r="C51" s="11">
        <f t="shared" si="3"/>
        <v>33.554432000000006</v>
      </c>
      <c r="D51" s="12">
        <v>20</v>
      </c>
      <c r="E51" s="11">
        <f t="shared" si="4"/>
        <v>6.7108864000000015</v>
      </c>
      <c r="F51" s="11">
        <f t="shared" si="5"/>
        <v>26.843545600000006</v>
      </c>
      <c r="O51" s="15"/>
      <c r="P51" s="15"/>
      <c r="Q51" s="24"/>
      <c r="R51" s="15"/>
      <c r="S51" s="15"/>
    </row>
    <row r="52" spans="2:19" x14ac:dyDescent="0.25">
      <c r="B52" s="11">
        <v>9</v>
      </c>
      <c r="C52" s="11">
        <f t="shared" si="3"/>
        <v>26.843545600000006</v>
      </c>
      <c r="D52" s="12">
        <v>20</v>
      </c>
      <c r="E52" s="11">
        <f t="shared" si="4"/>
        <v>5.3687091200000019</v>
      </c>
      <c r="F52" s="11">
        <f t="shared" si="5"/>
        <v>21.474836480000004</v>
      </c>
      <c r="O52" s="15"/>
      <c r="P52" s="15"/>
      <c r="Q52" s="24"/>
      <c r="R52" s="15"/>
      <c r="S52" s="15"/>
    </row>
    <row r="53" spans="2:19" x14ac:dyDescent="0.25">
      <c r="B53" s="11">
        <v>10</v>
      </c>
      <c r="C53" s="11">
        <f t="shared" si="3"/>
        <v>21.474836480000004</v>
      </c>
      <c r="D53" s="12">
        <v>20</v>
      </c>
      <c r="E53" s="11">
        <f t="shared" si="4"/>
        <v>4.2949672960000012</v>
      </c>
      <c r="F53" s="11">
        <f t="shared" si="5"/>
        <v>17.179869184000005</v>
      </c>
      <c r="O53" s="15"/>
      <c r="P53" s="15"/>
      <c r="Q53" s="24"/>
      <c r="R53" s="15"/>
      <c r="S53" s="15"/>
    </row>
    <row r="55" spans="2:19" ht="15.75" thickBot="1" x14ac:dyDescent="0.3"/>
    <row r="56" spans="2:19" x14ac:dyDescent="0.25">
      <c r="O56" s="16" t="s">
        <v>12</v>
      </c>
      <c r="P56" s="17" t="s">
        <v>13</v>
      </c>
      <c r="Q56" s="30" t="s">
        <v>14</v>
      </c>
      <c r="R56" s="18" t="s">
        <v>15</v>
      </c>
    </row>
    <row r="57" spans="2:19" x14ac:dyDescent="0.25">
      <c r="B57" s="11" t="s">
        <v>12</v>
      </c>
      <c r="C57" s="11" t="s">
        <v>13</v>
      </c>
      <c r="D57" s="51" t="s">
        <v>14</v>
      </c>
      <c r="E57" s="52"/>
      <c r="F57" s="11" t="s">
        <v>15</v>
      </c>
      <c r="O57" s="19">
        <v>1</v>
      </c>
      <c r="P57" s="11">
        <v>8200</v>
      </c>
      <c r="Q57" s="11">
        <f>8200 * (O62/21)</f>
        <v>2342.8571428571427</v>
      </c>
      <c r="R57" s="20">
        <f t="shared" ref="R57:R62" si="10">P57-Q57</f>
        <v>5857.1428571428569</v>
      </c>
    </row>
    <row r="58" spans="2:19" x14ac:dyDescent="0.25">
      <c r="B58" s="11">
        <v>1</v>
      </c>
      <c r="C58" s="11">
        <v>160</v>
      </c>
      <c r="D58" s="11">
        <f>160 * (B67/55)</f>
        <v>29.090909090909093</v>
      </c>
      <c r="E58" s="10"/>
      <c r="F58" s="11">
        <f>C58-D58</f>
        <v>130.90909090909091</v>
      </c>
      <c r="O58" s="19">
        <v>2</v>
      </c>
      <c r="P58" s="11">
        <f>R57</f>
        <v>5857.1428571428569</v>
      </c>
      <c r="Q58" s="11">
        <f>8200 * (O61/21)</f>
        <v>1952.3809523809523</v>
      </c>
      <c r="R58" s="20">
        <f t="shared" si="10"/>
        <v>3904.7619047619046</v>
      </c>
    </row>
    <row r="59" spans="2:19" x14ac:dyDescent="0.25">
      <c r="B59" s="11">
        <v>2</v>
      </c>
      <c r="C59" s="11">
        <f>F58</f>
        <v>130.90909090909091</v>
      </c>
      <c r="D59" s="11">
        <f>160 * (B66/55)</f>
        <v>26.18181818181818</v>
      </c>
      <c r="E59" s="10"/>
      <c r="F59" s="11">
        <f t="shared" ref="F59:F67" si="11">C59-D59</f>
        <v>104.72727272727272</v>
      </c>
      <c r="O59" s="19">
        <v>3</v>
      </c>
      <c r="P59" s="11">
        <f>R58</f>
        <v>3904.7619047619046</v>
      </c>
      <c r="Q59" s="11">
        <f>8200 * (O60/21)</f>
        <v>1561.9047619047619</v>
      </c>
      <c r="R59" s="20">
        <f t="shared" si="10"/>
        <v>2342.8571428571427</v>
      </c>
    </row>
    <row r="60" spans="2:19" x14ac:dyDescent="0.25">
      <c r="B60" s="11">
        <v>3</v>
      </c>
      <c r="C60" s="11">
        <f t="shared" ref="C60:C67" si="12">F59</f>
        <v>104.72727272727272</v>
      </c>
      <c r="D60" s="11">
        <f>160 * (B65/55)</f>
        <v>23.272727272727273</v>
      </c>
      <c r="E60" s="10"/>
      <c r="F60" s="11">
        <f t="shared" si="11"/>
        <v>81.454545454545439</v>
      </c>
      <c r="O60" s="19">
        <v>4</v>
      </c>
      <c r="P60" s="11">
        <f>R59</f>
        <v>2342.8571428571427</v>
      </c>
      <c r="Q60" s="11">
        <f>8200 * (O59/21)</f>
        <v>1171.4285714285713</v>
      </c>
      <c r="R60" s="20">
        <f t="shared" si="10"/>
        <v>1171.4285714285713</v>
      </c>
    </row>
    <row r="61" spans="2:19" x14ac:dyDescent="0.25">
      <c r="B61" s="11">
        <v>4</v>
      </c>
      <c r="C61" s="11">
        <f t="shared" si="12"/>
        <v>81.454545454545439</v>
      </c>
      <c r="D61" s="11">
        <f>160 * (B64/55)</f>
        <v>20.36363636363636</v>
      </c>
      <c r="E61" s="10"/>
      <c r="F61" s="11">
        <f t="shared" si="11"/>
        <v>61.090909090909079</v>
      </c>
      <c r="O61" s="19">
        <v>5</v>
      </c>
      <c r="P61" s="11">
        <f>R60</f>
        <v>1171.4285714285713</v>
      </c>
      <c r="Q61" s="11">
        <f>8200 * (O58/21)</f>
        <v>780.95238095238096</v>
      </c>
      <c r="R61" s="20">
        <f t="shared" si="10"/>
        <v>390.47619047619037</v>
      </c>
    </row>
    <row r="62" spans="2:19" ht="15.75" thickBot="1" x14ac:dyDescent="0.3">
      <c r="B62" s="11">
        <v>5</v>
      </c>
      <c r="C62" s="11">
        <f t="shared" si="12"/>
        <v>61.090909090909079</v>
      </c>
      <c r="D62" s="11">
        <f>160 * (B63/55)</f>
        <v>17.454545454545453</v>
      </c>
      <c r="E62" s="10"/>
      <c r="F62" s="11">
        <f t="shared" si="11"/>
        <v>43.636363636363626</v>
      </c>
      <c r="O62" s="21">
        <v>6</v>
      </c>
      <c r="P62" s="22">
        <f>R61</f>
        <v>390.47619047619037</v>
      </c>
      <c r="Q62" s="22">
        <f>8200 * (O57/21)</f>
        <v>390.47619047619048</v>
      </c>
      <c r="R62" s="23">
        <f t="shared" si="10"/>
        <v>0</v>
      </c>
    </row>
    <row r="63" spans="2:19" x14ac:dyDescent="0.25">
      <c r="B63" s="11">
        <v>6</v>
      </c>
      <c r="C63" s="11">
        <f t="shared" si="12"/>
        <v>43.636363636363626</v>
      </c>
      <c r="D63" s="11">
        <f>160 * (B62/55)</f>
        <v>14.545454545454547</v>
      </c>
      <c r="E63" s="10"/>
      <c r="F63" s="11">
        <f t="shared" si="11"/>
        <v>29.090909090909079</v>
      </c>
      <c r="O63" s="15"/>
      <c r="P63" s="15"/>
      <c r="Q63" s="15"/>
      <c r="R63" s="25"/>
      <c r="S63" s="15"/>
    </row>
    <row r="64" spans="2:19" x14ac:dyDescent="0.25">
      <c r="B64" s="11">
        <v>7</v>
      </c>
      <c r="C64" s="11">
        <f t="shared" si="12"/>
        <v>29.090909090909079</v>
      </c>
      <c r="D64" s="11">
        <f>160 * (B61/55)</f>
        <v>11.636363636363637</v>
      </c>
      <c r="E64" s="10"/>
      <c r="F64" s="11">
        <f t="shared" si="11"/>
        <v>17.454545454545443</v>
      </c>
      <c r="O64" s="15"/>
      <c r="P64" s="15"/>
      <c r="Q64" s="15"/>
      <c r="R64" s="25"/>
      <c r="S64" s="15"/>
    </row>
    <row r="65" spans="2:19" x14ac:dyDescent="0.25">
      <c r="B65" s="11">
        <v>8</v>
      </c>
      <c r="C65" s="11">
        <f t="shared" si="12"/>
        <v>17.454545454545443</v>
      </c>
      <c r="D65" s="11">
        <f>160 * (B60/55)</f>
        <v>8.7272727272727266</v>
      </c>
      <c r="E65" s="10"/>
      <c r="F65" s="11">
        <f t="shared" si="11"/>
        <v>8.727272727272716</v>
      </c>
      <c r="O65" s="15"/>
      <c r="P65" s="15"/>
      <c r="Q65" s="15"/>
      <c r="R65" s="25"/>
      <c r="S65" s="15"/>
    </row>
    <row r="66" spans="2:19" x14ac:dyDescent="0.25">
      <c r="B66" s="11">
        <v>9</v>
      </c>
      <c r="C66" s="11">
        <f t="shared" si="12"/>
        <v>8.727272727272716</v>
      </c>
      <c r="D66" s="11">
        <f>160 * (B59/55)</f>
        <v>5.8181818181818183</v>
      </c>
      <c r="E66" s="10"/>
      <c r="F66" s="11">
        <f t="shared" si="11"/>
        <v>2.9090909090908976</v>
      </c>
      <c r="O66" s="15"/>
      <c r="P66" s="15"/>
      <c r="Q66" s="15"/>
      <c r="R66" s="25"/>
      <c r="S66" s="26"/>
    </row>
    <row r="67" spans="2:19" x14ac:dyDescent="0.25">
      <c r="B67" s="11">
        <v>10</v>
      </c>
      <c r="C67" s="11">
        <f t="shared" si="12"/>
        <v>2.9090909090908976</v>
      </c>
      <c r="D67" s="11">
        <f>160 * (B58/55)</f>
        <v>2.9090909090909092</v>
      </c>
      <c r="E67" s="10"/>
      <c r="F67" s="14">
        <f t="shared" si="11"/>
        <v>-1.1546319456101628E-14</v>
      </c>
    </row>
    <row r="72" spans="2:19" ht="15.75" thickBot="1" x14ac:dyDescent="0.3"/>
    <row r="73" spans="2:19" ht="15.75" thickBot="1" x14ac:dyDescent="0.3">
      <c r="B73" s="47" t="s">
        <v>17</v>
      </c>
      <c r="C73" s="43" t="s">
        <v>27</v>
      </c>
      <c r="D73" s="44"/>
      <c r="E73" s="45" t="s">
        <v>30</v>
      </c>
      <c r="F73" s="46"/>
    </row>
    <row r="74" spans="2:19" ht="15.75" thickBot="1" x14ac:dyDescent="0.3">
      <c r="B74" s="48"/>
      <c r="C74" s="32" t="s">
        <v>28</v>
      </c>
      <c r="D74" s="32" t="s">
        <v>29</v>
      </c>
      <c r="E74" s="32" t="s">
        <v>31</v>
      </c>
      <c r="F74" s="32" t="s">
        <v>29</v>
      </c>
      <c r="H74" t="s">
        <v>32</v>
      </c>
      <c r="I74">
        <f>3/C81*100</f>
        <v>2.2900763358778624</v>
      </c>
    </row>
    <row r="75" spans="2:19" ht="15.75" thickBot="1" x14ac:dyDescent="0.3">
      <c r="B75" s="3" t="s">
        <v>18</v>
      </c>
      <c r="C75" s="9">
        <v>51</v>
      </c>
      <c r="D75" s="9">
        <f>(C75/C81) *100</f>
        <v>38.931297709923662</v>
      </c>
      <c r="E75" s="9">
        <v>53</v>
      </c>
      <c r="F75" s="31">
        <f>E75/$E$81*100</f>
        <v>35.333333333333336</v>
      </c>
    </row>
    <row r="76" spans="2:19" ht="15.75" thickBot="1" x14ac:dyDescent="0.3">
      <c r="B76" s="3" t="s">
        <v>19</v>
      </c>
      <c r="C76" s="3">
        <v>8</v>
      </c>
      <c r="D76" s="3">
        <f>C76/C81*100</f>
        <v>6.1068702290076331</v>
      </c>
      <c r="E76" s="3">
        <v>8</v>
      </c>
      <c r="F76" s="31">
        <f t="shared" ref="F76:F83" si="13">E76/$E$81*100</f>
        <v>5.3333333333333339</v>
      </c>
      <c r="H76" t="s">
        <v>33</v>
      </c>
      <c r="I76">
        <f>22/E81*100</f>
        <v>14.666666666666666</v>
      </c>
    </row>
    <row r="77" spans="2:19" ht="15.75" thickBot="1" x14ac:dyDescent="0.3">
      <c r="B77" s="33" t="s">
        <v>20</v>
      </c>
      <c r="C77" s="33">
        <v>48</v>
      </c>
      <c r="D77" s="3">
        <f>C77/C81*100</f>
        <v>36.641221374045799</v>
      </c>
      <c r="E77" s="3">
        <f>48+20-3</f>
        <v>65</v>
      </c>
      <c r="F77" s="31">
        <f t="shared" si="13"/>
        <v>43.333333333333336</v>
      </c>
    </row>
    <row r="78" spans="2:19" ht="15.75" thickBot="1" x14ac:dyDescent="0.3">
      <c r="B78" s="3" t="s">
        <v>21</v>
      </c>
      <c r="C78" s="3">
        <v>16</v>
      </c>
      <c r="D78" s="3">
        <f>C78/C81*100</f>
        <v>12.213740458015266</v>
      </c>
      <c r="E78" s="3">
        <v>16</v>
      </c>
      <c r="F78" s="31">
        <f t="shared" si="13"/>
        <v>10.666666666666668</v>
      </c>
    </row>
    <row r="79" spans="2:19" ht="15.75" thickBot="1" x14ac:dyDescent="0.3">
      <c r="B79" s="33" t="s">
        <v>22</v>
      </c>
      <c r="C79" s="33">
        <v>5</v>
      </c>
      <c r="D79" s="3">
        <f>C79/C81*100</f>
        <v>3.8167938931297711</v>
      </c>
      <c r="E79" s="3">
        <v>5</v>
      </c>
      <c r="F79" s="31">
        <f t="shared" si="13"/>
        <v>3.3333333333333335</v>
      </c>
    </row>
    <row r="80" spans="2:19" ht="15.75" thickBot="1" x14ac:dyDescent="0.3">
      <c r="B80" s="3" t="s">
        <v>23</v>
      </c>
      <c r="C80" s="3">
        <v>3</v>
      </c>
      <c r="D80" s="3">
        <f>C80/C81*100</f>
        <v>2.2900763358778624</v>
      </c>
      <c r="E80" s="3">
        <v>3</v>
      </c>
      <c r="F80" s="31">
        <f t="shared" si="13"/>
        <v>2</v>
      </c>
    </row>
    <row r="81" spans="2:6" ht="15.75" thickBot="1" x14ac:dyDescent="0.3">
      <c r="B81" s="3" t="s">
        <v>24</v>
      </c>
      <c r="C81" s="4">
        <v>131</v>
      </c>
      <c r="D81" s="4">
        <f>C81/C81*100</f>
        <v>100</v>
      </c>
      <c r="E81" s="4">
        <f>E75+E76+E77+E78+E79+E80</f>
        <v>150</v>
      </c>
      <c r="F81" s="31">
        <f t="shared" si="13"/>
        <v>100</v>
      </c>
    </row>
    <row r="82" spans="2:6" ht="15.75" thickBot="1" x14ac:dyDescent="0.3">
      <c r="B82" s="9" t="s">
        <v>25</v>
      </c>
      <c r="C82" s="9">
        <v>53</v>
      </c>
      <c r="D82" s="9">
        <f>C82/C81*100</f>
        <v>40.458015267175576</v>
      </c>
      <c r="E82" s="9">
        <f>E77+E79</f>
        <v>70</v>
      </c>
      <c r="F82" s="31">
        <f t="shared" si="13"/>
        <v>46.666666666666664</v>
      </c>
    </row>
    <row r="83" spans="2:6" ht="15.75" thickBot="1" x14ac:dyDescent="0.3">
      <c r="B83" s="4" t="s">
        <v>26</v>
      </c>
      <c r="C83" s="4">
        <v>78</v>
      </c>
      <c r="D83" s="4">
        <f>C83/C81*100</f>
        <v>59.541984732824424</v>
      </c>
      <c r="E83" s="4">
        <f>E75+E76+E78+E80</f>
        <v>80</v>
      </c>
      <c r="F83" s="32">
        <f t="shared" si="13"/>
        <v>53.333333333333336</v>
      </c>
    </row>
  </sheetData>
  <mergeCells count="8">
    <mergeCell ref="C73:D73"/>
    <mergeCell ref="E73:F73"/>
    <mergeCell ref="B73:B74"/>
    <mergeCell ref="B9:C9"/>
    <mergeCell ref="B5:C5"/>
    <mergeCell ref="B16:C16"/>
    <mergeCell ref="B20:C20"/>
    <mergeCell ref="D57:E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97"/>
  <sheetViews>
    <sheetView tabSelected="1" topLeftCell="A72" zoomScale="120" workbookViewId="0">
      <selection activeCell="F89" sqref="F89"/>
    </sheetView>
  </sheetViews>
  <sheetFormatPr defaultRowHeight="15" x14ac:dyDescent="0.25"/>
  <cols>
    <col min="2" max="2" width="15.85546875" bestFit="1" customWidth="1"/>
    <col min="3" max="3" width="11" customWidth="1"/>
    <col min="5" max="5" width="16.140625" customWidth="1"/>
  </cols>
  <sheetData>
    <row r="5" spans="2:9" ht="15.75" thickBot="1" x14ac:dyDescent="0.3"/>
    <row r="6" spans="2:9" ht="33" customHeight="1" x14ac:dyDescent="0.25">
      <c r="B6" s="54" t="s">
        <v>42</v>
      </c>
      <c r="C6" s="57"/>
      <c r="D6" s="62" t="s">
        <v>36</v>
      </c>
      <c r="E6" s="57"/>
    </row>
    <row r="7" spans="2:9" x14ac:dyDescent="0.25">
      <c r="B7" s="34" t="s">
        <v>34</v>
      </c>
      <c r="C7" s="35" t="s">
        <v>35</v>
      </c>
      <c r="D7" s="36" t="s">
        <v>43</v>
      </c>
      <c r="E7" s="35" t="s">
        <v>35</v>
      </c>
    </row>
    <row r="8" spans="2:9" x14ac:dyDescent="0.25">
      <c r="B8" s="34" t="s">
        <v>37</v>
      </c>
      <c r="C8" s="35">
        <v>2500</v>
      </c>
      <c r="D8" s="36" t="s">
        <v>44</v>
      </c>
      <c r="E8" s="35">
        <v>3000</v>
      </c>
      <c r="G8" t="s">
        <v>48</v>
      </c>
      <c r="H8">
        <f>((C8+C9)/2 + (C9+C10)/2 +(C10+C11)/2 +(C11+C12)/2)/4</f>
        <v>2475</v>
      </c>
    </row>
    <row r="9" spans="2:9" x14ac:dyDescent="0.25">
      <c r="B9" s="34" t="s">
        <v>38</v>
      </c>
      <c r="C9" s="35">
        <v>2600</v>
      </c>
      <c r="D9" s="36" t="s">
        <v>45</v>
      </c>
      <c r="E9" s="35">
        <v>3500</v>
      </c>
      <c r="G9" t="s">
        <v>49</v>
      </c>
      <c r="H9">
        <f>(E8+E9+E10+E11)/H8</f>
        <v>5.0505050505050502</v>
      </c>
      <c r="I9" t="s">
        <v>50</v>
      </c>
    </row>
    <row r="10" spans="2:9" x14ac:dyDescent="0.25">
      <c r="B10" s="34" t="s">
        <v>39</v>
      </c>
      <c r="C10" s="35">
        <v>2400</v>
      </c>
      <c r="D10" s="36" t="s">
        <v>46</v>
      </c>
      <c r="E10" s="35">
        <v>2900</v>
      </c>
      <c r="G10" t="s">
        <v>51</v>
      </c>
      <c r="H10">
        <f>360/H9</f>
        <v>71.28</v>
      </c>
      <c r="I10" t="s">
        <v>52</v>
      </c>
    </row>
    <row r="11" spans="2:9" x14ac:dyDescent="0.25">
      <c r="B11" s="34" t="s">
        <v>40</v>
      </c>
      <c r="C11" s="35">
        <v>2400</v>
      </c>
      <c r="D11" s="58" t="s">
        <v>47</v>
      </c>
      <c r="E11" s="60">
        <v>3100</v>
      </c>
    </row>
    <row r="12" spans="2:9" ht="15.75" thickBot="1" x14ac:dyDescent="0.3">
      <c r="B12" s="37" t="s">
        <v>41</v>
      </c>
      <c r="C12" s="38">
        <v>2500</v>
      </c>
      <c r="D12" s="59"/>
      <c r="E12" s="61"/>
    </row>
    <row r="16" spans="2:9" ht="15.75" thickBot="1" x14ac:dyDescent="0.3">
      <c r="B16" s="25"/>
      <c r="C16" s="25"/>
      <c r="D16" s="25"/>
      <c r="E16" s="25"/>
      <c r="F16" s="25"/>
    </row>
    <row r="17" spans="2:9" x14ac:dyDescent="0.25">
      <c r="B17" s="54" t="s">
        <v>42</v>
      </c>
      <c r="C17" s="55"/>
      <c r="D17" s="56" t="s">
        <v>36</v>
      </c>
      <c r="E17" s="56"/>
      <c r="F17" s="25"/>
      <c r="G17" t="s">
        <v>48</v>
      </c>
      <c r="H17">
        <f>((C19+C20)/2+(C20+C21)/2)/2</f>
        <v>2525</v>
      </c>
    </row>
    <row r="18" spans="2:9" x14ac:dyDescent="0.25">
      <c r="B18" s="34" t="s">
        <v>34</v>
      </c>
      <c r="C18" s="41" t="s">
        <v>35</v>
      </c>
      <c r="D18" s="42" t="s">
        <v>43</v>
      </c>
      <c r="E18" s="42" t="s">
        <v>35</v>
      </c>
      <c r="F18" s="25"/>
      <c r="G18" s="40" t="s">
        <v>53</v>
      </c>
      <c r="H18">
        <f>(E19+E20)/H17</f>
        <v>2.5742574257425743</v>
      </c>
    </row>
    <row r="19" spans="2:9" x14ac:dyDescent="0.25">
      <c r="B19" s="34" t="s">
        <v>37</v>
      </c>
      <c r="C19" s="41">
        <v>2500</v>
      </c>
      <c r="D19" s="42" t="s">
        <v>44</v>
      </c>
      <c r="E19" s="42">
        <v>3000</v>
      </c>
      <c r="F19" s="25"/>
      <c r="G19" t="s">
        <v>54</v>
      </c>
      <c r="H19">
        <f>180/H18</f>
        <v>69.92307692307692</v>
      </c>
      <c r="I19" t="s">
        <v>56</v>
      </c>
    </row>
    <row r="20" spans="2:9" x14ac:dyDescent="0.25">
      <c r="B20" s="34" t="s">
        <v>38</v>
      </c>
      <c r="C20" s="41">
        <v>2600</v>
      </c>
      <c r="D20" s="42" t="s">
        <v>45</v>
      </c>
      <c r="E20" s="42">
        <v>3500</v>
      </c>
      <c r="F20" s="25"/>
    </row>
    <row r="21" spans="2:9" x14ac:dyDescent="0.25">
      <c r="B21" s="34" t="s">
        <v>39</v>
      </c>
      <c r="C21" s="41">
        <v>2400</v>
      </c>
      <c r="D21" s="39"/>
      <c r="E21" s="39"/>
      <c r="F21" s="25"/>
    </row>
    <row r="22" spans="2:9" x14ac:dyDescent="0.25">
      <c r="B22" s="39"/>
      <c r="C22" s="39"/>
      <c r="D22" s="39"/>
      <c r="E22" s="39"/>
      <c r="F22" s="25"/>
    </row>
    <row r="23" spans="2:9" x14ac:dyDescent="0.25">
      <c r="B23" s="39"/>
      <c r="C23" s="39"/>
      <c r="D23" s="53"/>
      <c r="E23" s="53"/>
      <c r="F23" s="25"/>
    </row>
    <row r="24" spans="2:9" x14ac:dyDescent="0.25">
      <c r="B24" s="39"/>
      <c r="C24" s="39"/>
      <c r="D24" s="53"/>
      <c r="E24" s="53"/>
      <c r="F24" s="25"/>
    </row>
    <row r="25" spans="2:9" x14ac:dyDescent="0.25">
      <c r="B25" t="s">
        <v>55</v>
      </c>
      <c r="C25" t="s">
        <v>57</v>
      </c>
    </row>
    <row r="26" spans="2:9" x14ac:dyDescent="0.25">
      <c r="C26" t="s">
        <v>58</v>
      </c>
    </row>
    <row r="27" spans="2:9" x14ac:dyDescent="0.25">
      <c r="C27" t="s">
        <v>59</v>
      </c>
    </row>
    <row r="51" spans="2:11" x14ac:dyDescent="0.25">
      <c r="B51" t="s">
        <v>60</v>
      </c>
      <c r="D51">
        <v>6200</v>
      </c>
    </row>
    <row r="52" spans="2:11" x14ac:dyDescent="0.25">
      <c r="B52" t="s">
        <v>61</v>
      </c>
      <c r="E52">
        <v>2.8</v>
      </c>
      <c r="G52" t="s">
        <v>62</v>
      </c>
      <c r="H52">
        <v>160</v>
      </c>
    </row>
    <row r="53" spans="2:11" x14ac:dyDescent="0.25">
      <c r="B53" t="s">
        <v>63</v>
      </c>
      <c r="C53">
        <v>15</v>
      </c>
      <c r="D53" t="s">
        <v>64</v>
      </c>
      <c r="E53" t="s">
        <v>65</v>
      </c>
      <c r="F53">
        <v>3</v>
      </c>
      <c r="G53" t="s">
        <v>66</v>
      </c>
      <c r="H53" t="s">
        <v>67</v>
      </c>
      <c r="J53">
        <v>0.5</v>
      </c>
      <c r="K53" t="s">
        <v>66</v>
      </c>
    </row>
    <row r="54" spans="2:11" x14ac:dyDescent="0.25">
      <c r="B54" t="s">
        <v>68</v>
      </c>
      <c r="E54">
        <v>0.8</v>
      </c>
      <c r="F54" t="s">
        <v>69</v>
      </c>
    </row>
    <row r="55" spans="2:11" x14ac:dyDescent="0.25">
      <c r="B55" t="s">
        <v>70</v>
      </c>
      <c r="D55">
        <v>720</v>
      </c>
    </row>
    <row r="56" spans="2:11" x14ac:dyDescent="0.25">
      <c r="B56" t="s">
        <v>71</v>
      </c>
      <c r="D56">
        <v>0.5</v>
      </c>
    </row>
    <row r="57" spans="2:11" x14ac:dyDescent="0.25">
      <c r="B57" t="s">
        <v>72</v>
      </c>
      <c r="E57">
        <v>2</v>
      </c>
      <c r="F57" t="s">
        <v>66</v>
      </c>
    </row>
    <row r="60" spans="2:11" x14ac:dyDescent="0.25">
      <c r="B60" t="s">
        <v>75</v>
      </c>
      <c r="C60" s="63">
        <f>E61*(C53+F53+J53)</f>
        <v>142737.77777777778</v>
      </c>
      <c r="D60" t="s">
        <v>74</v>
      </c>
    </row>
    <row r="61" spans="2:11" x14ac:dyDescent="0.25">
      <c r="B61" t="s">
        <v>73</v>
      </c>
      <c r="E61">
        <f>(E52*H52*D51)/360</f>
        <v>7715.5555555555557</v>
      </c>
      <c r="F61" t="s">
        <v>74</v>
      </c>
    </row>
    <row r="62" spans="2:11" x14ac:dyDescent="0.25">
      <c r="B62" t="s">
        <v>76</v>
      </c>
      <c r="C62">
        <f>(D55*D51)/360</f>
        <v>12400</v>
      </c>
      <c r="D62" t="s">
        <v>74</v>
      </c>
    </row>
    <row r="63" spans="2:11" x14ac:dyDescent="0.25">
      <c r="B63" t="s">
        <v>77</v>
      </c>
      <c r="C63">
        <f>C62*E54*D56</f>
        <v>4960</v>
      </c>
      <c r="D63" t="s">
        <v>74</v>
      </c>
    </row>
    <row r="64" spans="2:11" x14ac:dyDescent="0.25">
      <c r="B64" t="s">
        <v>78</v>
      </c>
      <c r="C64">
        <f>C62*E57</f>
        <v>24800</v>
      </c>
      <c r="D64" t="s">
        <v>74</v>
      </c>
    </row>
    <row r="65" spans="2:8" x14ac:dyDescent="0.25">
      <c r="B65" t="s">
        <v>79</v>
      </c>
      <c r="C65" s="63">
        <f>C60+C63+C64</f>
        <v>172497.77777777778</v>
      </c>
      <c r="D65" t="s">
        <v>74</v>
      </c>
    </row>
    <row r="79" spans="2:8" x14ac:dyDescent="0.25">
      <c r="B79" t="s">
        <v>60</v>
      </c>
      <c r="D79">
        <v>5500</v>
      </c>
    </row>
    <row r="80" spans="2:8" x14ac:dyDescent="0.25">
      <c r="B80" t="s">
        <v>80</v>
      </c>
      <c r="E80">
        <v>0.6</v>
      </c>
      <c r="F80" t="s">
        <v>81</v>
      </c>
      <c r="G80" t="s">
        <v>62</v>
      </c>
      <c r="H80">
        <v>150</v>
      </c>
    </row>
    <row r="81" spans="2:11" x14ac:dyDescent="0.25">
      <c r="B81" t="s">
        <v>82</v>
      </c>
      <c r="E81">
        <v>0.2</v>
      </c>
      <c r="F81" t="s">
        <v>81</v>
      </c>
      <c r="G81" t="s">
        <v>62</v>
      </c>
      <c r="H81">
        <v>100</v>
      </c>
    </row>
    <row r="82" spans="2:11" x14ac:dyDescent="0.25">
      <c r="B82" t="s">
        <v>83</v>
      </c>
      <c r="C82">
        <v>10</v>
      </c>
      <c r="D82" t="s">
        <v>64</v>
      </c>
      <c r="E82" t="s">
        <v>65</v>
      </c>
      <c r="F82">
        <v>4</v>
      </c>
      <c r="G82" t="s">
        <v>66</v>
      </c>
      <c r="H82" t="s">
        <v>67</v>
      </c>
      <c r="J82">
        <v>1</v>
      </c>
      <c r="K82" t="s">
        <v>66</v>
      </c>
    </row>
    <row r="83" spans="2:11" x14ac:dyDescent="0.25">
      <c r="B83" t="s">
        <v>84</v>
      </c>
      <c r="C83">
        <v>22</v>
      </c>
      <c r="D83" t="s">
        <v>66</v>
      </c>
      <c r="E83" t="s">
        <v>65</v>
      </c>
      <c r="F83" s="13">
        <v>0.5</v>
      </c>
    </row>
    <row r="84" spans="2:11" x14ac:dyDescent="0.25">
      <c r="B84" t="s">
        <v>68</v>
      </c>
      <c r="E84">
        <v>0.1</v>
      </c>
      <c r="F84" t="s">
        <v>69</v>
      </c>
    </row>
    <row r="85" spans="2:11" x14ac:dyDescent="0.25">
      <c r="B85" t="s">
        <v>70</v>
      </c>
      <c r="D85">
        <v>320</v>
      </c>
    </row>
    <row r="86" spans="2:11" x14ac:dyDescent="0.25">
      <c r="B86" t="s">
        <v>71</v>
      </c>
      <c r="D86">
        <v>0.5</v>
      </c>
    </row>
    <row r="87" spans="2:11" x14ac:dyDescent="0.25">
      <c r="B87" t="s">
        <v>72</v>
      </c>
      <c r="E87">
        <v>2</v>
      </c>
      <c r="F87" t="s">
        <v>66</v>
      </c>
    </row>
    <row r="89" spans="2:11" x14ac:dyDescent="0.25">
      <c r="B89" t="s">
        <v>87</v>
      </c>
      <c r="C89" s="63">
        <f>E91*(C82+F82+J82)</f>
        <v>20625</v>
      </c>
      <c r="D89" t="s">
        <v>74</v>
      </c>
    </row>
    <row r="90" spans="2:11" x14ac:dyDescent="0.25">
      <c r="B90" t="s">
        <v>88</v>
      </c>
      <c r="C90">
        <f>E92*(C83+11)</f>
        <v>10083.333333333332</v>
      </c>
      <c r="D90" t="s">
        <v>74</v>
      </c>
    </row>
    <row r="91" spans="2:11" x14ac:dyDescent="0.25">
      <c r="B91" t="s">
        <v>85</v>
      </c>
      <c r="E91">
        <f>(E80*H80*D79)/360</f>
        <v>1375</v>
      </c>
      <c r="F91" t="s">
        <v>74</v>
      </c>
    </row>
    <row r="92" spans="2:11" x14ac:dyDescent="0.25">
      <c r="B92" t="s">
        <v>86</v>
      </c>
      <c r="E92">
        <f>(E81*H81*D79)/360</f>
        <v>305.55555555555554</v>
      </c>
      <c r="F92" t="s">
        <v>74</v>
      </c>
    </row>
    <row r="94" spans="2:11" x14ac:dyDescent="0.25">
      <c r="B94" t="s">
        <v>76</v>
      </c>
      <c r="C94">
        <f>(D85*D79)/360</f>
        <v>4888.8888888888887</v>
      </c>
      <c r="D94" t="s">
        <v>74</v>
      </c>
    </row>
    <row r="95" spans="2:11" x14ac:dyDescent="0.25">
      <c r="B95" t="s">
        <v>77</v>
      </c>
      <c r="C95">
        <f>C94*E84*D86</f>
        <v>244.44444444444446</v>
      </c>
      <c r="D95" t="s">
        <v>74</v>
      </c>
    </row>
    <row r="96" spans="2:11" x14ac:dyDescent="0.25">
      <c r="B96" t="s">
        <v>78</v>
      </c>
      <c r="C96">
        <f>C94*E87</f>
        <v>9777.7777777777774</v>
      </c>
      <c r="D96" t="s">
        <v>74</v>
      </c>
    </row>
    <row r="97" spans="2:4" x14ac:dyDescent="0.25">
      <c r="B97" t="s">
        <v>79</v>
      </c>
      <c r="C97" s="63">
        <f>C89+C95+C96+C90</f>
        <v>40730.555555555555</v>
      </c>
      <c r="D97" t="s">
        <v>74</v>
      </c>
    </row>
  </sheetData>
  <mergeCells count="8">
    <mergeCell ref="D23:D24"/>
    <mergeCell ref="E23:E24"/>
    <mergeCell ref="B17:C17"/>
    <mergeCell ref="D17:E17"/>
    <mergeCell ref="B6:C6"/>
    <mergeCell ref="D11:D12"/>
    <mergeCell ref="E11:E12"/>
    <mergeCell ref="D6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2025-11-14T10:02:58Z</dcterms:modified>
</cp:coreProperties>
</file>